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xr:revisionPtr revIDLastSave="0" documentId="8_{9C54A2A1-40F1-F74F-86AD-D68E8C15DD31}" xr6:coauthVersionLast="47" xr6:coauthVersionMax="47" xr10:uidLastSave="{00000000-0000-0000-0000-000000000000}"/>
  <bookViews>
    <workbookView xWindow="1840" yWindow="620" windowWidth="24760" windowHeight="15480" xr2:uid="{28E62552-F6DE-4E08-9C02-7D3B8F21212B}"/>
  </bookViews>
  <sheets>
    <sheet name="Consolidatore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</calcChain>
</file>

<file path=xl/sharedStrings.xml><?xml version="1.0" encoding="utf-8"?>
<sst xmlns="http://schemas.openxmlformats.org/spreadsheetml/2006/main" count="223" uniqueCount="140">
  <si>
    <t>ID SEQUENZA</t>
  </si>
  <si>
    <t>STATO
PN</t>
  </si>
  <si>
    <t>Riferimento API PN</t>
  </si>
  <si>
    <t>Codice Stato</t>
  </si>
  <si>
    <t>Nome Stato</t>
  </si>
  <si>
    <t>Motivo Scarto</t>
  </si>
  <si>
    <t>IFA/Dettagli</t>
  </si>
  <si>
    <t xml:space="preserve">Descrizione Stato </t>
  </si>
  <si>
    <t xml:space="preserve">Tipo stato </t>
  </si>
  <si>
    <t>Finale</t>
  </si>
  <si>
    <t>NOTE</t>
  </si>
  <si>
    <t>riferimento stato capitolato recapitista par. 8.3</t>
  </si>
  <si>
    <t>SI
IFA (1)</t>
  </si>
  <si>
    <t>Paper
Delivery</t>
  </si>
  <si>
    <t>CON001 (PN)</t>
  </si>
  <si>
    <t>Acquisito</t>
  </si>
  <si>
    <t>(IFA 1)</t>
  </si>
  <si>
    <t>L'entità "Notifica PN" assume questo stato a seguito di esito positivo dei controlli sintattici o semantici della richiesta e invio response OK all’external channel di PN</t>
  </si>
  <si>
    <t>Tecnico</t>
  </si>
  <si>
    <t>X</t>
  </si>
  <si>
    <t>CON999 (PN)</t>
  </si>
  <si>
    <t>Scartato</t>
  </si>
  <si>
    <t>Richiesta non valida</t>
  </si>
  <si>
    <t>Stato finale dell'entità. L'entità assume questo valore a seguito di un KO sui controlli sintattici o semantici della richiesta e invio di response di tipo KO all’external channel di PN</t>
  </si>
  <si>
    <t>Business</t>
  </si>
  <si>
    <t xml:space="preserve">definire causali di scarto/ errore type con codice errore differente e parlante - Metadati non valorizzati </t>
  </si>
  <si>
    <t>CON002</t>
  </si>
  <si>
    <t>In attesa di recupero documento</t>
  </si>
  <si>
    <t>L’entità "Notifica PN" assume questo stato quando orchestratore  ottiene un errore in fase di recupero del documento depositato su safe storage per indisponibilità temporanea del documento e rimane in attesa di riprovare a recuperare il documento</t>
  </si>
  <si>
    <t>SI
IFA (10a)</t>
  </si>
  <si>
    <t>CON998 (PN)</t>
  </si>
  <si>
    <t>Scartato NO-DOC</t>
  </si>
  <si>
    <t>Documento non recuperato</t>
  </si>
  <si>
    <t>Stato finale dell'entità. L'entità assume questo valore a seguito di un errore in fase di recupero del documento depositato su safe storage</t>
  </si>
  <si>
    <t>definire causali di scarto/ errore type con codice errore differente e parlante</t>
  </si>
  <si>
    <t>CON997 (PN)</t>
  </si>
  <si>
    <t>Scartato CAP/INTERNAZIONALE</t>
  </si>
  <si>
    <t>CAP o country non trovato</t>
  </si>
  <si>
    <t>Stato finale dell'entità. L'entità assume questo valore a seguito di un KO della verifica Smistamento.</t>
  </si>
  <si>
    <t>CON003</t>
  </si>
  <si>
    <t>Inviato alle verifiche PDF (Formatting)</t>
  </si>
  <si>
    <t>L’entità "Notifica PN" assume questo stato quando Orchestratore ha trasferito il documento a Formatting ed ha ricevuto l'accettazione</t>
  </si>
  <si>
    <t>CON996 (PN)</t>
  </si>
  <si>
    <t>Documento KO Allegato</t>
  </si>
  <si>
    <t>IFA (3srt)</t>
  </si>
  <si>
    <t>Stato finale dell'entità. L'entità assume questo valore a seguito di un KO della verifica PDF. Comunicati via rest da Formatting una volta che ha eseguito i controlli PDF (MILLplus) con esito negativo.</t>
  </si>
  <si>
    <t>CON004</t>
  </si>
  <si>
    <t>Trasferito da fromatting a Orchestratore</t>
  </si>
  <si>
    <t>IFA (4)</t>
  </si>
  <si>
    <t>L'entità "Notifica PN" assume questo valore una volta che Formatting invia il flusso di Stampa all'orchestratore.</t>
  </si>
  <si>
    <t>CON005</t>
  </si>
  <si>
    <t>Trasferito al sistema di stampa</t>
  </si>
  <si>
    <t>IFA (5)</t>
  </si>
  <si>
    <r>
      <t xml:space="preserve">L'entità "Notifica PN" assume questo valore a seguito di un completamento del processo di invio del flusso di stampa associato. (IFA 5).
</t>
    </r>
    <r>
      <rPr>
        <sz val="8"/>
        <color rgb="FFFF0000"/>
        <rFont val="Century Gothic"/>
        <family val="2"/>
      </rPr>
      <t>Dal momento che ci potrebbero essere KO in fase di Stampa non dovremmo inviarlo a PN</t>
    </r>
  </si>
  <si>
    <t>CON995 (PN)</t>
  </si>
  <si>
    <t>Errore invio stampa</t>
  </si>
  <si>
    <t>IFA (6)</t>
  </si>
  <si>
    <r>
      <t xml:space="preserve">Stato finale dell'entità. L'entità "Notifica PN" assume questo valore a seguito di un mancato completamento del processo di invio del flusso di stampa associato, a seguito di un errore ricevuto dal sistema di stampa. </t>
    </r>
    <r>
      <rPr>
        <b/>
        <sz val="8"/>
        <rFont val="Century Gothic"/>
        <family val="2"/>
      </rPr>
      <t>INVIARE a PN</t>
    </r>
    <r>
      <rPr>
        <sz val="8"/>
        <rFont val="Century Gothic"/>
        <family val="2"/>
      </rPr>
      <t xml:space="preserve">
</t>
    </r>
    <r>
      <rPr>
        <b/>
        <sz val="8"/>
        <rFont val="Century Gothic"/>
        <family val="2"/>
      </rPr>
      <t>Errore/Scarto</t>
    </r>
    <r>
      <rPr>
        <sz val="8"/>
        <rFont val="Century Gothic"/>
        <family val="2"/>
      </rPr>
      <t xml:space="preserve"> (Totale del Flusso)</t>
    </r>
  </si>
  <si>
    <t>CON994</t>
  </si>
  <si>
    <t>Annullato</t>
  </si>
  <si>
    <t>Errore elaborazione stampa</t>
  </si>
  <si>
    <r>
      <t xml:space="preserve">Stato finale dell'entità. L'entità "Notifica PN" assume questo valore a seguito della comunicazione a PN di uno scarto di stampa ricevuto dal sistema di stampa: Questo stato viene fornito nel caso il flusso debba essere rediretto ad un altro Stampatore.
</t>
    </r>
    <r>
      <rPr>
        <b/>
        <sz val="8"/>
        <color rgb="FF000000"/>
        <rFont val="Century Gothic"/>
        <family val="2"/>
      </rPr>
      <t>Annullato</t>
    </r>
    <r>
      <rPr>
        <sz val="8"/>
        <color rgb="FF000000"/>
        <rFont val="Century Gothic"/>
        <family val="2"/>
      </rPr>
      <t xml:space="preserve"> (Totale del Flusso)</t>
    </r>
  </si>
  <si>
    <t>CON006</t>
  </si>
  <si>
    <t>Preso in Carico</t>
  </si>
  <si>
    <r>
      <t xml:space="preserve">L'entità "Notifica PN" assume questo valore quando gli stampatori comunicano al consolidatore lo stato:
</t>
    </r>
    <r>
      <rPr>
        <b/>
        <sz val="8"/>
        <rFont val="Century Gothic"/>
        <family val="2"/>
      </rPr>
      <t>Preso In Carico</t>
    </r>
    <r>
      <rPr>
        <sz val="8"/>
        <rFont val="Century Gothic"/>
        <family val="2"/>
      </rPr>
      <t xml:space="preserve"> (Totale del Flusso)
</t>
    </r>
  </si>
  <si>
    <t xml:space="preserve">
</t>
  </si>
  <si>
    <t xml:space="preserve">CON007
</t>
  </si>
  <si>
    <t>Accettato</t>
  </si>
  <si>
    <r>
      <t xml:space="preserve">L'entità "Notifica PN" assume questo valore quando gli stampatori comunicano al consolidatore lo stato:
</t>
    </r>
    <r>
      <rPr>
        <b/>
        <sz val="8"/>
        <rFont val="Century Gothic"/>
        <family val="2"/>
      </rPr>
      <t>Accettato</t>
    </r>
    <r>
      <rPr>
        <sz val="8"/>
        <rFont val="Century Gothic"/>
        <family val="2"/>
      </rPr>
      <t xml:space="preserve"> </t>
    </r>
    <r>
      <rPr>
        <sz val="8"/>
        <color rgb="FF0070C0"/>
        <rFont val="Century Gothic"/>
        <family val="2"/>
      </rPr>
      <t xml:space="preserve">Totale del Flusso </t>
    </r>
  </si>
  <si>
    <t>CON008</t>
  </si>
  <si>
    <t>Imbustato</t>
  </si>
  <si>
    <r>
      <t xml:space="preserve">l'entità "Notifica PN" assume questo valore quando gli stampatori comunicano al consolidatore lo stato:
</t>
    </r>
    <r>
      <rPr>
        <b/>
        <sz val="8"/>
        <rFont val="Century Gothic"/>
        <family val="2"/>
      </rPr>
      <t xml:space="preserve">Imbustato </t>
    </r>
  </si>
  <si>
    <r>
      <t xml:space="preserve">CON080 (PN)
</t>
    </r>
    <r>
      <rPr>
        <sz val="8"/>
        <color rgb="FF0070C0"/>
        <rFont val="Century Gothic"/>
        <family val="2"/>
      </rPr>
      <t>CON993 (PN) [per eventuali scarti]</t>
    </r>
  </si>
  <si>
    <t>Completato</t>
  </si>
  <si>
    <r>
      <rPr>
        <sz val="8"/>
        <color rgb="FF0070C0"/>
        <rFont val="Century Gothic"/>
        <family val="2"/>
      </rPr>
      <t>Formale presa in carico finale da consolidatore</t>
    </r>
    <r>
      <rPr>
        <sz val="8"/>
        <rFont val="Century Gothic"/>
        <family val="2"/>
      </rPr>
      <t xml:space="preserve">
IFA (6)</t>
    </r>
  </si>
  <si>
    <r>
      <t xml:space="preserve">l'entità "Notifica PN" assume questo valore quando gli stampatori comunicano al consolidatore lo stato:
</t>
    </r>
    <r>
      <rPr>
        <b/>
        <sz val="8"/>
        <rFont val="Century Gothic"/>
        <family val="2"/>
      </rPr>
      <t xml:space="preserve">Completato </t>
    </r>
    <r>
      <rPr>
        <sz val="8"/>
        <color rgb="FF0070C0"/>
        <rFont val="Century Gothic"/>
        <family val="2"/>
      </rPr>
      <t>(Totale del Flusso ad eccezione degli scarti)</t>
    </r>
    <r>
      <rPr>
        <sz val="8"/>
        <rFont val="Century Gothic"/>
        <family val="2"/>
      </rPr>
      <t xml:space="preserve">
</t>
    </r>
    <r>
      <rPr>
        <sz val="8"/>
        <color rgb="FF0070C0"/>
        <rFont val="Century Gothic"/>
        <family val="2"/>
      </rPr>
      <t>Prevede scarti parziali di alcune comunicazioni massimo n-1. Nel caso tutte le comunicazioni sono scartate deve essere utilizzato lo stato Errore</t>
    </r>
  </si>
  <si>
    <t>CON08A</t>
  </si>
  <si>
    <t>Accounted</t>
  </si>
  <si>
    <t>IFA (6a)</t>
  </si>
  <si>
    <t>Stato con il quale lo Stampatore indica di aver eseguito l'accounting della comunicazione. La risposta è comune per tutto il flusso di stampa inviato dall'Orchestratre</t>
  </si>
  <si>
    <t>CON009</t>
  </si>
  <si>
    <t>DU inviata a Orchestratore</t>
  </si>
  <si>
    <t>IFA (7)</t>
  </si>
  <si>
    <t>DU ricevuta da stampatore</t>
  </si>
  <si>
    <r>
      <rPr>
        <sz val="8"/>
        <color rgb="FF000000"/>
        <rFont val="Century Gothic"/>
        <family val="1"/>
      </rPr>
      <t xml:space="preserve">CON010 </t>
    </r>
    <r>
      <rPr>
        <sz val="8"/>
        <color rgb="FF7030A0"/>
        <rFont val="Century Gothic"/>
        <family val="1"/>
      </rPr>
      <t>(PN)</t>
    </r>
  </si>
  <si>
    <t>Inviata (DU) al recapitista</t>
  </si>
  <si>
    <t>IFA (8)</t>
  </si>
  <si>
    <t>Rappresenta la data in cui il flusso di dettaglio degl oggetti stampati viene inviato al recapitista (24 h prima della disponibilità della materialità). 
Identificabile con la "Distinta DU" inviata al recapitista e caricata nei sistemi. "Deve indicare la data disponibilità della materialità per il recapitista".</t>
  </si>
  <si>
    <t>può arrivare con ordine non lineare rispetto allo stato di Materialità disponibile al recapitsta</t>
  </si>
  <si>
    <t>CON10A</t>
  </si>
  <si>
    <t>Inviata (DU) a Formatting 
per il Sigillo</t>
  </si>
  <si>
    <t>IFA (7sig)</t>
  </si>
  <si>
    <t>"Distinta DU" da Orchestratore a Formatting per apposizione Sigillo</t>
  </si>
  <si>
    <t>CON10B</t>
  </si>
  <si>
    <t>DU Sigillata inviata da formatting a Orchestratore</t>
  </si>
  <si>
    <t>IFA (7dlv)</t>
  </si>
  <si>
    <r>
      <t xml:space="preserve">Invio della "Distinta DU" </t>
    </r>
    <r>
      <rPr>
        <u/>
        <sz val="8"/>
        <rFont val="Century Gothic"/>
        <family val="2"/>
      </rPr>
      <t>SIGILLATA</t>
    </r>
    <r>
      <rPr>
        <sz val="8"/>
        <rFont val="Century Gothic"/>
        <family val="2"/>
      </rPr>
      <t xml:space="preserve"> da Formatting a Orchestratore</t>
    </r>
  </si>
  <si>
    <t>CON011 (PN)</t>
  </si>
  <si>
    <t>DU Sigillata inviata a PN</t>
  </si>
  <si>
    <t>IFA (10a)</t>
  </si>
  <si>
    <t>Invio della "Distinta DU" SIGILLATA da Orchestratore a PN.</t>
  </si>
  <si>
    <t>CON992 (PN)</t>
  </si>
  <si>
    <t>KO DU da recapitista</t>
  </si>
  <si>
    <t>IFA(8rit)</t>
  </si>
  <si>
    <t>CON012 (PN)</t>
  </si>
  <si>
    <t>OK DU da recapitista</t>
  </si>
  <si>
    <t>CON09A (PN)</t>
  </si>
  <si>
    <t>Materialità disponibile ai recapitisti</t>
  </si>
  <si>
    <t>IFA(7)</t>
  </si>
  <si>
    <t xml:space="preserve">Deve indicare la data disponibilità della materialità per il recapitista.
</t>
  </si>
  <si>
    <t>può arrivare con ordine non lineare rispetto allo stato di Invio affidato al recapitista</t>
  </si>
  <si>
    <t>CON013</t>
  </si>
  <si>
    <t>PICKUP consegnata a orchestratore</t>
  </si>
  <si>
    <t>IFA (9)</t>
  </si>
  <si>
    <t xml:space="preserve">Ricezione della "Distinta di Pickup" da parte dell'Orchestratore.
</t>
  </si>
  <si>
    <t>Aggrega una o più DU</t>
  </si>
  <si>
    <t>CON014</t>
  </si>
  <si>
    <t>PICKUP consegnata a formatting</t>
  </si>
  <si>
    <t>IFA (9sig)</t>
  </si>
  <si>
    <t>Accettazione della "Distinta di Pickup" da Orchestratore a Formatting per apposizione Sigillo</t>
  </si>
  <si>
    <t>CON015</t>
  </si>
  <si>
    <t>PICKUP Sigillata e inviata a Orchestratore</t>
  </si>
  <si>
    <t>IFA (9dlv)</t>
  </si>
  <si>
    <t>CON016 (PN)</t>
  </si>
  <si>
    <t>PICKUP Sigillata inviata a PN</t>
  </si>
  <si>
    <t>Invio della "Distinta di Pickup" SIGILLATA da Orchestratore a PN.L'entità assume questo valore quando il recapitista preleva la materialità al CGC e deve coincidere con la data indicata nella distinta di presa in carico da recapitista.</t>
  </si>
  <si>
    <t>CON017</t>
  </si>
  <si>
    <t>Accettazione da recapitista OK</t>
  </si>
  <si>
    <t>IFA (9a)</t>
  </si>
  <si>
    <t>Quando il recapitista fornisce flusso di accettazione della materialità con riscontro positivo</t>
  </si>
  <si>
    <t>CON991 (PN)</t>
  </si>
  <si>
    <t>Mancata accettazione da recapitsta</t>
  </si>
  <si>
    <t>L'entità "Notifica PN" assume questo valore quando il recaptista fornisce flusso di accettazione della materialità con riscontro negativo</t>
  </si>
  <si>
    <t>CON018 (PN)</t>
  </si>
  <si>
    <t>Accettazione inviata a Stampatore e PN</t>
  </si>
  <si>
    <t>IFA (9arit)</t>
  </si>
  <si>
    <t>Accettazione della "Distinta DU" da Orchestratore a Stampatore e a PN</t>
  </si>
  <si>
    <t>CON020 (PN)</t>
  </si>
  <si>
    <t>Affido conservato inviata a PN</t>
  </si>
  <si>
    <t>Invio del "Flusso di Stampa Firmato" da Orchestratore a PN.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</si>
</sst>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rgb="FF000000"/>
      <name val="Century Gothic"/>
      <family val="2"/>
    </font>
    <font>
      <sz val="8"/>
      <color theme="1"/>
      <name val="Century Gothic"/>
      <family val="2"/>
    </font>
    <font>
      <sz val="8"/>
      <name val="Century Gothic"/>
      <family val="2"/>
    </font>
    <font>
      <b/>
      <sz val="8"/>
      <name val="Century Gothic"/>
      <family val="2"/>
    </font>
    <font>
      <sz val="8"/>
      <color rgb="FF0070C0"/>
      <name val="Century Gothic"/>
      <family val="2"/>
    </font>
    <font>
      <b/>
      <sz val="8"/>
      <color rgb="FFFF0000"/>
      <name val="Century Gothic"/>
      <family val="2"/>
    </font>
    <font>
      <sz val="8"/>
      <color rgb="FFFF0000"/>
      <name val="Century Gothic"/>
      <family val="2"/>
    </font>
    <font>
      <sz val="8"/>
      <color rgb="FF000000"/>
      <name val="Century Gothic"/>
      <family val="2"/>
    </font>
    <font>
      <u/>
      <sz val="8"/>
      <name val="Century Gothic"/>
      <family val="2"/>
    </font>
    <font>
      <sz val="8"/>
      <color rgb="FF000000"/>
      <name val="Century Gothic"/>
      <family val="1"/>
    </font>
    <font>
      <sz val="8"/>
      <color rgb="FF7030A0"/>
      <name val="Century Gothic"/>
      <family val="1"/>
    </font>
  </fonts>
  <fills count="3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/>
    <xf numFmtId="0" fontId="7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0" xfId="0" applyFont="1"/>
    <xf numFmtId="0" fontId="1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A1974-1D11-4A91-BB0A-278BFF2B7EA9}">
  <dimension ref="A1:M33"/>
  <sheetViews>
    <sheetView tabSelected="1" zoomScale="130" zoomScaleNormal="130" workbookViewId="0">
      <pane xSplit="4" ySplit="1" topLeftCell="E26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28.5" defaultRowHeight="11" x14ac:dyDescent="0.15"/>
  <cols>
    <col min="1" max="1" width="8.33203125" style="4" customWidth="1"/>
    <col min="2" max="2" width="6.83203125" style="4" customWidth="1"/>
    <col min="3" max="3" width="7" style="4" customWidth="1"/>
    <col min="4" max="4" width="11.83203125" style="4" customWidth="1"/>
    <col min="5" max="5" width="14.5" style="4" customWidth="1"/>
    <col min="6" max="6" width="10.5" style="4" bestFit="1" customWidth="1"/>
    <col min="7" max="7" width="10.5" style="4" customWidth="1"/>
    <col min="8" max="8" width="36.5" style="4" customWidth="1"/>
    <col min="9" max="9" width="8.1640625" style="4" bestFit="1" customWidth="1"/>
    <col min="10" max="10" width="5.6640625" style="4" bestFit="1" customWidth="1"/>
    <col min="11" max="11" width="17.1640625" style="4" customWidth="1"/>
    <col min="12" max="16384" width="28.5" style="4"/>
  </cols>
  <sheetData>
    <row r="1" spans="1:13" ht="25" thickBo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</row>
    <row r="2" spans="1:13" s="9" customFormat="1" ht="37" thickBot="1" x14ac:dyDescent="0.2">
      <c r="A2" s="5">
        <v>1</v>
      </c>
      <c r="B2" s="6" t="s">
        <v>12</v>
      </c>
      <c r="C2" s="6" t="s">
        <v>13</v>
      </c>
      <c r="D2" s="5" t="s">
        <v>14</v>
      </c>
      <c r="E2" s="5" t="s">
        <v>15</v>
      </c>
      <c r="F2" s="5"/>
      <c r="G2" s="5" t="s">
        <v>16</v>
      </c>
      <c r="H2" s="7" t="s">
        <v>17</v>
      </c>
      <c r="I2" s="5" t="s">
        <v>18</v>
      </c>
      <c r="J2" s="8" t="s">
        <v>19</v>
      </c>
      <c r="K2" s="8"/>
      <c r="L2" s="8"/>
    </row>
    <row r="3" spans="1:13" s="9" customFormat="1" ht="61" thickBot="1" x14ac:dyDescent="0.2">
      <c r="A3" s="5">
        <f>A2+1</f>
        <v>2</v>
      </c>
      <c r="B3" s="6" t="s">
        <v>12</v>
      </c>
      <c r="C3" s="6" t="s">
        <v>13</v>
      </c>
      <c r="D3" s="5" t="s">
        <v>20</v>
      </c>
      <c r="E3" s="5" t="s">
        <v>21</v>
      </c>
      <c r="F3" s="5" t="s">
        <v>22</v>
      </c>
      <c r="G3" s="5" t="s">
        <v>16</v>
      </c>
      <c r="H3" s="7" t="s">
        <v>23</v>
      </c>
      <c r="I3" s="5" t="s">
        <v>24</v>
      </c>
      <c r="J3" s="8" t="s">
        <v>19</v>
      </c>
      <c r="K3" s="8" t="s">
        <v>25</v>
      </c>
      <c r="L3" s="8"/>
      <c r="M3" s="10"/>
    </row>
    <row r="4" spans="1:13" s="9" customFormat="1" ht="61" thickBot="1" x14ac:dyDescent="0.2">
      <c r="A4" s="5">
        <f t="shared" ref="A4:A33" si="0">A3+1</f>
        <v>3</v>
      </c>
      <c r="B4" s="6"/>
      <c r="C4" s="6"/>
      <c r="D4" s="5" t="s">
        <v>26</v>
      </c>
      <c r="E4" s="5" t="s">
        <v>27</v>
      </c>
      <c r="F4" s="5"/>
      <c r="G4" s="5"/>
      <c r="H4" s="7" t="s">
        <v>28</v>
      </c>
      <c r="I4" s="5" t="s">
        <v>18</v>
      </c>
      <c r="J4" s="8"/>
      <c r="K4" s="8"/>
      <c r="L4" s="8"/>
    </row>
    <row r="5" spans="1:13" s="9" customFormat="1" ht="49" thickBot="1" x14ac:dyDescent="0.2">
      <c r="A5" s="5">
        <f t="shared" si="0"/>
        <v>4</v>
      </c>
      <c r="B5" s="6" t="s">
        <v>29</v>
      </c>
      <c r="C5" s="6" t="s">
        <v>13</v>
      </c>
      <c r="D5" s="5" t="s">
        <v>30</v>
      </c>
      <c r="E5" s="5" t="s">
        <v>31</v>
      </c>
      <c r="F5" s="5" t="s">
        <v>32</v>
      </c>
      <c r="G5" s="5"/>
      <c r="H5" s="7" t="s">
        <v>33</v>
      </c>
      <c r="I5" s="5" t="s">
        <v>24</v>
      </c>
      <c r="J5" s="8" t="s">
        <v>19</v>
      </c>
      <c r="K5" s="8" t="s">
        <v>34</v>
      </c>
      <c r="L5" s="8"/>
    </row>
    <row r="6" spans="1:13" s="9" customFormat="1" ht="37" thickBot="1" x14ac:dyDescent="0.2">
      <c r="A6" s="5">
        <f t="shared" si="0"/>
        <v>5</v>
      </c>
      <c r="B6" s="6" t="s">
        <v>29</v>
      </c>
      <c r="C6" s="6" t="s">
        <v>13</v>
      </c>
      <c r="D6" s="5" t="s">
        <v>35</v>
      </c>
      <c r="E6" s="5" t="s">
        <v>36</v>
      </c>
      <c r="F6" s="5" t="s">
        <v>37</v>
      </c>
      <c r="G6" s="5"/>
      <c r="H6" s="7" t="s">
        <v>38</v>
      </c>
      <c r="I6" s="5" t="s">
        <v>24</v>
      </c>
      <c r="J6" s="8" t="s">
        <v>19</v>
      </c>
      <c r="K6" s="8"/>
      <c r="L6" s="8"/>
    </row>
    <row r="7" spans="1:13" ht="37" thickBot="1" x14ac:dyDescent="0.2">
      <c r="A7" s="5">
        <f t="shared" si="0"/>
        <v>6</v>
      </c>
      <c r="B7" s="6"/>
      <c r="C7" s="6"/>
      <c r="D7" s="5" t="s">
        <v>39</v>
      </c>
      <c r="E7" s="5" t="s">
        <v>40</v>
      </c>
      <c r="F7" s="5"/>
      <c r="G7" s="5"/>
      <c r="H7" s="7" t="s">
        <v>41</v>
      </c>
      <c r="I7" s="5" t="s">
        <v>18</v>
      </c>
      <c r="J7" s="8"/>
      <c r="K7" s="8"/>
      <c r="L7" s="11"/>
    </row>
    <row r="8" spans="1:13" s="12" customFormat="1" ht="49" thickBot="1" x14ac:dyDescent="0.2">
      <c r="A8" s="5">
        <f t="shared" si="0"/>
        <v>7</v>
      </c>
      <c r="B8" s="6" t="s">
        <v>29</v>
      </c>
      <c r="C8" s="6" t="s">
        <v>13</v>
      </c>
      <c r="D8" s="5" t="s">
        <v>42</v>
      </c>
      <c r="E8" s="5" t="s">
        <v>21</v>
      </c>
      <c r="F8" s="5" t="s">
        <v>43</v>
      </c>
      <c r="G8" s="5" t="s">
        <v>44</v>
      </c>
      <c r="H8" s="7" t="s">
        <v>45</v>
      </c>
      <c r="I8" s="5" t="s">
        <v>24</v>
      </c>
      <c r="J8" s="8" t="s">
        <v>19</v>
      </c>
      <c r="K8" s="8" t="s">
        <v>34</v>
      </c>
      <c r="L8" s="11"/>
    </row>
    <row r="9" spans="1:13" ht="37" thickBot="1" x14ac:dyDescent="0.2">
      <c r="A9" s="5">
        <f t="shared" si="0"/>
        <v>8</v>
      </c>
      <c r="B9" s="13"/>
      <c r="C9" s="6"/>
      <c r="D9" s="5" t="s">
        <v>46</v>
      </c>
      <c r="E9" s="14" t="s">
        <v>47</v>
      </c>
      <c r="F9" s="14"/>
      <c r="G9" s="5" t="s">
        <v>48</v>
      </c>
      <c r="H9" s="15" t="s">
        <v>49</v>
      </c>
      <c r="I9" s="14" t="s">
        <v>18</v>
      </c>
      <c r="J9" s="16"/>
      <c r="K9" s="16"/>
      <c r="L9" s="16"/>
    </row>
    <row r="10" spans="1:13" ht="61" thickBot="1" x14ac:dyDescent="0.2">
      <c r="A10" s="5">
        <f t="shared" si="0"/>
        <v>9</v>
      </c>
      <c r="B10" s="13"/>
      <c r="C10" s="6"/>
      <c r="D10" s="5" t="s">
        <v>50</v>
      </c>
      <c r="E10" s="14" t="s">
        <v>51</v>
      </c>
      <c r="F10" s="14"/>
      <c r="G10" s="5" t="s">
        <v>52</v>
      </c>
      <c r="H10" s="15" t="s">
        <v>53</v>
      </c>
      <c r="I10" s="5" t="s">
        <v>18</v>
      </c>
      <c r="J10" s="16"/>
      <c r="K10" s="16"/>
      <c r="L10" s="16"/>
    </row>
    <row r="11" spans="1:13" s="9" customFormat="1" ht="73" thickBot="1" x14ac:dyDescent="0.2">
      <c r="A11" s="5">
        <f t="shared" si="0"/>
        <v>10</v>
      </c>
      <c r="B11" s="6" t="s">
        <v>29</v>
      </c>
      <c r="C11" s="6"/>
      <c r="D11" s="5" t="s">
        <v>54</v>
      </c>
      <c r="E11" s="5" t="s">
        <v>21</v>
      </c>
      <c r="F11" s="5" t="s">
        <v>55</v>
      </c>
      <c r="G11" s="5" t="s">
        <v>56</v>
      </c>
      <c r="H11" s="7" t="s">
        <v>57</v>
      </c>
      <c r="I11" s="5" t="s">
        <v>24</v>
      </c>
      <c r="J11" s="8" t="s">
        <v>19</v>
      </c>
      <c r="K11" s="8" t="s">
        <v>34</v>
      </c>
      <c r="L11" s="8"/>
    </row>
    <row r="12" spans="1:13" ht="73" thickBot="1" x14ac:dyDescent="0.2">
      <c r="A12" s="5">
        <f t="shared" si="0"/>
        <v>11</v>
      </c>
      <c r="B12" s="6"/>
      <c r="C12" s="6"/>
      <c r="D12" s="14" t="s">
        <v>58</v>
      </c>
      <c r="E12" s="14" t="s">
        <v>59</v>
      </c>
      <c r="F12" s="14" t="s">
        <v>60</v>
      </c>
      <c r="G12" s="5" t="s">
        <v>56</v>
      </c>
      <c r="H12" s="15" t="s">
        <v>61</v>
      </c>
      <c r="I12" s="5" t="s">
        <v>18</v>
      </c>
      <c r="J12" s="16"/>
      <c r="K12" s="16" t="s">
        <v>34</v>
      </c>
      <c r="L12" s="16"/>
    </row>
    <row r="13" spans="1:13" ht="49" thickBot="1" x14ac:dyDescent="0.2">
      <c r="A13" s="5">
        <f t="shared" si="0"/>
        <v>12</v>
      </c>
      <c r="B13" s="6"/>
      <c r="C13" s="6"/>
      <c r="D13" s="14" t="s">
        <v>62</v>
      </c>
      <c r="E13" s="5" t="s">
        <v>63</v>
      </c>
      <c r="F13" s="5"/>
      <c r="G13" s="5" t="s">
        <v>56</v>
      </c>
      <c r="H13" s="7" t="s">
        <v>64</v>
      </c>
      <c r="I13" s="5" t="s">
        <v>18</v>
      </c>
      <c r="J13" s="16"/>
      <c r="K13" s="16"/>
      <c r="L13" s="16"/>
    </row>
    <row r="14" spans="1:13" ht="37" thickBot="1" x14ac:dyDescent="0.2">
      <c r="A14" s="5">
        <f t="shared" si="0"/>
        <v>13</v>
      </c>
      <c r="B14" s="6" t="s">
        <v>65</v>
      </c>
      <c r="C14" s="6"/>
      <c r="D14" s="14" t="s">
        <v>66</v>
      </c>
      <c r="E14" s="5" t="s">
        <v>67</v>
      </c>
      <c r="F14" s="14"/>
      <c r="G14" s="14" t="s">
        <v>56</v>
      </c>
      <c r="H14" s="15" t="s">
        <v>68</v>
      </c>
      <c r="I14" s="5" t="s">
        <v>18</v>
      </c>
      <c r="J14" s="16"/>
      <c r="K14" s="16"/>
      <c r="L14" s="16"/>
    </row>
    <row r="15" spans="1:13" ht="37" thickBot="1" x14ac:dyDescent="0.2">
      <c r="A15" s="5">
        <f t="shared" si="0"/>
        <v>14</v>
      </c>
      <c r="B15" s="6"/>
      <c r="C15" s="6"/>
      <c r="D15" s="5" t="s">
        <v>69</v>
      </c>
      <c r="E15" s="5" t="s">
        <v>70</v>
      </c>
      <c r="F15" s="5"/>
      <c r="G15" s="14" t="s">
        <v>56</v>
      </c>
      <c r="H15" s="7" t="s">
        <v>71</v>
      </c>
      <c r="I15" s="14" t="s">
        <v>18</v>
      </c>
      <c r="J15" s="16"/>
      <c r="K15" s="16"/>
      <c r="L15" s="16"/>
    </row>
    <row r="16" spans="1:13" ht="85" thickBot="1" x14ac:dyDescent="0.2">
      <c r="A16" s="5">
        <f t="shared" si="0"/>
        <v>15</v>
      </c>
      <c r="B16" s="6" t="s">
        <v>29</v>
      </c>
      <c r="C16" s="6" t="s">
        <v>13</v>
      </c>
      <c r="D16" s="5" t="s">
        <v>72</v>
      </c>
      <c r="E16" s="5" t="s">
        <v>73</v>
      </c>
      <c r="F16" s="5"/>
      <c r="G16" s="5" t="s">
        <v>74</v>
      </c>
      <c r="H16" s="7" t="s">
        <v>75</v>
      </c>
      <c r="I16" s="14" t="s">
        <v>24</v>
      </c>
      <c r="J16" s="16" t="s">
        <v>19</v>
      </c>
      <c r="K16" s="16"/>
      <c r="L16" s="16"/>
    </row>
    <row r="17" spans="1:12" ht="49" thickBot="1" x14ac:dyDescent="0.2">
      <c r="A17" s="5">
        <f t="shared" si="0"/>
        <v>16</v>
      </c>
      <c r="B17" s="6"/>
      <c r="C17" s="6"/>
      <c r="D17" s="5" t="s">
        <v>76</v>
      </c>
      <c r="E17" s="5" t="s">
        <v>77</v>
      </c>
      <c r="F17" s="5"/>
      <c r="G17" s="5" t="s">
        <v>78</v>
      </c>
      <c r="H17" s="7" t="s">
        <v>79</v>
      </c>
      <c r="I17" s="5" t="s">
        <v>18</v>
      </c>
      <c r="J17" s="16"/>
      <c r="K17" s="16"/>
      <c r="L17" s="16"/>
    </row>
    <row r="18" spans="1:12" ht="25" thickBot="1" x14ac:dyDescent="0.2">
      <c r="A18" s="5">
        <f t="shared" si="0"/>
        <v>17</v>
      </c>
      <c r="B18" s="6"/>
      <c r="C18" s="6"/>
      <c r="D18" s="5" t="s">
        <v>80</v>
      </c>
      <c r="E18" s="5" t="s">
        <v>81</v>
      </c>
      <c r="F18" s="5"/>
      <c r="G18" s="5" t="s">
        <v>82</v>
      </c>
      <c r="H18" s="7" t="s">
        <v>83</v>
      </c>
      <c r="I18" s="5" t="s">
        <v>18</v>
      </c>
      <c r="J18" s="16"/>
      <c r="K18" s="16"/>
      <c r="L18" s="16"/>
    </row>
    <row r="19" spans="1:12" ht="73" thickBot="1" x14ac:dyDescent="0.2">
      <c r="A19" s="5">
        <f t="shared" si="0"/>
        <v>18</v>
      </c>
      <c r="B19" s="6" t="s">
        <v>29</v>
      </c>
      <c r="C19" s="6" t="s">
        <v>13</v>
      </c>
      <c r="D19" s="19" t="s">
        <v>84</v>
      </c>
      <c r="E19" s="14" t="s">
        <v>85</v>
      </c>
      <c r="F19" s="14"/>
      <c r="G19" s="14" t="s">
        <v>86</v>
      </c>
      <c r="H19" s="7" t="s">
        <v>87</v>
      </c>
      <c r="I19" s="14" t="s">
        <v>24</v>
      </c>
      <c r="J19" s="16"/>
      <c r="K19" s="16" t="s">
        <v>88</v>
      </c>
      <c r="L19" s="16"/>
    </row>
    <row r="20" spans="1:12" ht="37" thickBot="1" x14ac:dyDescent="0.2">
      <c r="A20" s="5">
        <f t="shared" si="0"/>
        <v>19</v>
      </c>
      <c r="B20" s="6"/>
      <c r="C20" s="6"/>
      <c r="D20" s="14" t="s">
        <v>89</v>
      </c>
      <c r="E20" s="14" t="s">
        <v>90</v>
      </c>
      <c r="F20" s="14"/>
      <c r="G20" s="14" t="s">
        <v>91</v>
      </c>
      <c r="H20" s="7" t="s">
        <v>92</v>
      </c>
      <c r="I20" s="5" t="s">
        <v>18</v>
      </c>
      <c r="J20" s="16"/>
      <c r="K20" s="16"/>
      <c r="L20" s="16"/>
    </row>
    <row r="21" spans="1:12" ht="49" thickBot="1" x14ac:dyDescent="0.2">
      <c r="A21" s="5">
        <f t="shared" si="0"/>
        <v>20</v>
      </c>
      <c r="B21" s="6"/>
      <c r="C21" s="6"/>
      <c r="D21" s="14" t="s">
        <v>93</v>
      </c>
      <c r="E21" s="14" t="s">
        <v>94</v>
      </c>
      <c r="F21" s="14"/>
      <c r="G21" s="14" t="s">
        <v>95</v>
      </c>
      <c r="H21" s="7" t="s">
        <v>96</v>
      </c>
      <c r="I21" s="5" t="s">
        <v>18</v>
      </c>
      <c r="J21" s="16"/>
      <c r="K21" s="16" t="s">
        <v>88</v>
      </c>
      <c r="L21" s="16"/>
    </row>
    <row r="22" spans="1:12" s="18" customFormat="1" ht="25" thickBot="1" x14ac:dyDescent="0.2">
      <c r="A22" s="5">
        <f t="shared" si="0"/>
        <v>21</v>
      </c>
      <c r="B22" s="6" t="s">
        <v>29</v>
      </c>
      <c r="C22" s="6" t="s">
        <v>13</v>
      </c>
      <c r="D22" s="5" t="s">
        <v>97</v>
      </c>
      <c r="E22" s="5" t="s">
        <v>98</v>
      </c>
      <c r="F22" s="5"/>
      <c r="G22" s="5" t="s">
        <v>99</v>
      </c>
      <c r="H22" s="7" t="s">
        <v>100</v>
      </c>
      <c r="I22" s="5" t="s">
        <v>24</v>
      </c>
      <c r="J22" s="8"/>
      <c r="K22" s="8"/>
      <c r="L22" s="17"/>
    </row>
    <row r="23" spans="1:12" ht="25" thickBot="1" x14ac:dyDescent="0.2">
      <c r="A23" s="5">
        <f t="shared" si="0"/>
        <v>22</v>
      </c>
      <c r="B23" s="6" t="s">
        <v>29</v>
      </c>
      <c r="C23" s="6" t="s">
        <v>13</v>
      </c>
      <c r="D23" s="5" t="s">
        <v>101</v>
      </c>
      <c r="E23" s="5" t="s">
        <v>102</v>
      </c>
      <c r="F23" s="5"/>
      <c r="G23" s="5" t="s">
        <v>103</v>
      </c>
      <c r="H23" s="7"/>
      <c r="I23" s="5" t="s">
        <v>18</v>
      </c>
      <c r="J23" s="16"/>
      <c r="K23" s="16"/>
      <c r="L23" s="16"/>
    </row>
    <row r="24" spans="1:12" ht="25" thickBot="1" x14ac:dyDescent="0.2">
      <c r="A24" s="5">
        <f t="shared" si="0"/>
        <v>23</v>
      </c>
      <c r="B24" s="6" t="s">
        <v>29</v>
      </c>
      <c r="C24" s="6" t="s">
        <v>13</v>
      </c>
      <c r="D24" s="5" t="s">
        <v>104</v>
      </c>
      <c r="E24" s="5" t="s">
        <v>105</v>
      </c>
      <c r="F24" s="5"/>
      <c r="G24" s="5" t="s">
        <v>103</v>
      </c>
      <c r="H24" s="7"/>
      <c r="I24" s="5" t="s">
        <v>24</v>
      </c>
      <c r="J24" s="16"/>
      <c r="K24" s="16"/>
      <c r="L24" s="16"/>
    </row>
    <row r="25" spans="1:12" s="9" customFormat="1" ht="49" thickBot="1" x14ac:dyDescent="0.2">
      <c r="A25" s="5">
        <f t="shared" si="0"/>
        <v>24</v>
      </c>
      <c r="B25" s="6" t="s">
        <v>29</v>
      </c>
      <c r="C25" s="6" t="s">
        <v>13</v>
      </c>
      <c r="D25" s="5" t="s">
        <v>106</v>
      </c>
      <c r="E25" s="5" t="s">
        <v>107</v>
      </c>
      <c r="F25" s="5"/>
      <c r="G25" s="5" t="s">
        <v>108</v>
      </c>
      <c r="H25" s="7" t="s">
        <v>109</v>
      </c>
      <c r="I25" s="5" t="s">
        <v>18</v>
      </c>
      <c r="J25" s="8"/>
      <c r="K25" s="8" t="s">
        <v>110</v>
      </c>
      <c r="L25" s="8"/>
    </row>
    <row r="26" spans="1:12" s="18" customFormat="1" ht="61" thickBot="1" x14ac:dyDescent="0.2">
      <c r="A26" s="5">
        <f t="shared" si="0"/>
        <v>25</v>
      </c>
      <c r="B26" s="6"/>
      <c r="C26" s="6"/>
      <c r="D26" s="5" t="s">
        <v>111</v>
      </c>
      <c r="E26" s="5" t="s">
        <v>112</v>
      </c>
      <c r="F26" s="5"/>
      <c r="G26" s="5" t="s">
        <v>113</v>
      </c>
      <c r="H26" s="7" t="s">
        <v>114</v>
      </c>
      <c r="I26" s="5" t="s">
        <v>18</v>
      </c>
      <c r="J26" s="8"/>
      <c r="K26" s="8" t="s">
        <v>115</v>
      </c>
      <c r="L26" s="17"/>
    </row>
    <row r="27" spans="1:12" s="18" customFormat="1" ht="46.25" customHeight="1" thickBot="1" x14ac:dyDescent="0.2">
      <c r="A27" s="5">
        <f t="shared" si="0"/>
        <v>26</v>
      </c>
      <c r="B27" s="6"/>
      <c r="C27" s="6"/>
      <c r="D27" s="5" t="s">
        <v>116</v>
      </c>
      <c r="E27" s="5" t="s">
        <v>117</v>
      </c>
      <c r="F27" s="5"/>
      <c r="G27" s="5" t="s">
        <v>118</v>
      </c>
      <c r="H27" s="7" t="s">
        <v>119</v>
      </c>
      <c r="I27" s="5" t="s">
        <v>18</v>
      </c>
      <c r="J27" s="8"/>
      <c r="K27" s="8" t="s">
        <v>115</v>
      </c>
      <c r="L27" s="17"/>
    </row>
    <row r="28" spans="1:12" s="18" customFormat="1" ht="56" customHeight="1" thickBot="1" x14ac:dyDescent="0.2">
      <c r="A28" s="5">
        <f t="shared" si="0"/>
        <v>27</v>
      </c>
      <c r="B28" s="6"/>
      <c r="C28" s="6"/>
      <c r="D28" s="5" t="s">
        <v>120</v>
      </c>
      <c r="E28" s="5" t="s">
        <v>121</v>
      </c>
      <c r="F28" s="5"/>
      <c r="G28" s="5" t="s">
        <v>122</v>
      </c>
      <c r="H28" s="7" t="s">
        <v>119</v>
      </c>
      <c r="I28" s="5" t="s">
        <v>18</v>
      </c>
      <c r="J28" s="8"/>
      <c r="K28" s="8" t="s">
        <v>115</v>
      </c>
      <c r="L28" s="17"/>
    </row>
    <row r="29" spans="1:12" s="18" customFormat="1" ht="61" thickBot="1" x14ac:dyDescent="0.2">
      <c r="A29" s="5">
        <f t="shared" si="0"/>
        <v>28</v>
      </c>
      <c r="B29" s="6" t="s">
        <v>29</v>
      </c>
      <c r="C29" s="6" t="s">
        <v>13</v>
      </c>
      <c r="D29" s="5" t="s">
        <v>123</v>
      </c>
      <c r="E29" s="5" t="s">
        <v>124</v>
      </c>
      <c r="F29" s="5"/>
      <c r="G29" s="5" t="s">
        <v>99</v>
      </c>
      <c r="H29" s="7" t="s">
        <v>125</v>
      </c>
      <c r="I29" s="5" t="s">
        <v>24</v>
      </c>
      <c r="J29" s="8"/>
      <c r="K29" s="8" t="s">
        <v>115</v>
      </c>
      <c r="L29" s="17"/>
    </row>
    <row r="30" spans="1:12" ht="25" thickBot="1" x14ac:dyDescent="0.2">
      <c r="A30" s="5">
        <f t="shared" si="0"/>
        <v>29</v>
      </c>
      <c r="B30" s="6"/>
      <c r="C30" s="6"/>
      <c r="D30" s="14" t="s">
        <v>126</v>
      </c>
      <c r="E30" s="14" t="s">
        <v>127</v>
      </c>
      <c r="F30" s="14"/>
      <c r="G30" s="14" t="s">
        <v>128</v>
      </c>
      <c r="H30" s="15" t="s">
        <v>129</v>
      </c>
      <c r="I30" s="5" t="s">
        <v>18</v>
      </c>
      <c r="J30" s="5"/>
      <c r="K30" s="14"/>
      <c r="L30" s="16"/>
    </row>
    <row r="31" spans="1:12" ht="37" thickBot="1" x14ac:dyDescent="0.2">
      <c r="A31" s="5">
        <f t="shared" si="0"/>
        <v>30</v>
      </c>
      <c r="B31" s="6" t="s">
        <v>29</v>
      </c>
      <c r="C31" s="6" t="s">
        <v>13</v>
      </c>
      <c r="D31" s="14" t="s">
        <v>130</v>
      </c>
      <c r="E31" s="14" t="s">
        <v>131</v>
      </c>
      <c r="F31" s="14"/>
      <c r="G31" s="14" t="s">
        <v>128</v>
      </c>
      <c r="H31" s="15" t="s">
        <v>132</v>
      </c>
      <c r="I31" s="5" t="s">
        <v>18</v>
      </c>
      <c r="J31" s="8"/>
      <c r="K31" s="14"/>
      <c r="L31" s="16"/>
    </row>
    <row r="32" spans="1:12" ht="25" thickBot="1" x14ac:dyDescent="0.2">
      <c r="A32" s="5">
        <f t="shared" si="0"/>
        <v>31</v>
      </c>
      <c r="B32" s="6" t="s">
        <v>29</v>
      </c>
      <c r="C32" s="6" t="s">
        <v>13</v>
      </c>
      <c r="D32" s="14" t="s">
        <v>133</v>
      </c>
      <c r="E32" s="14" t="s">
        <v>134</v>
      </c>
      <c r="F32" s="14"/>
      <c r="G32" s="14" t="s">
        <v>135</v>
      </c>
      <c r="H32" s="15" t="s">
        <v>136</v>
      </c>
      <c r="I32" s="14" t="s">
        <v>24</v>
      </c>
      <c r="J32" s="14"/>
      <c r="K32" s="14"/>
      <c r="L32" s="16"/>
    </row>
    <row r="33" spans="1:12" ht="25" thickBot="1" x14ac:dyDescent="0.2">
      <c r="A33" s="5">
        <f t="shared" si="0"/>
        <v>32</v>
      </c>
      <c r="B33" s="6" t="s">
        <v>29</v>
      </c>
      <c r="C33" s="6" t="s">
        <v>13</v>
      </c>
      <c r="D33" s="14" t="s">
        <v>137</v>
      </c>
      <c r="E33" s="14" t="s">
        <v>138</v>
      </c>
      <c r="F33" s="14"/>
      <c r="G33" s="5" t="s">
        <v>99</v>
      </c>
      <c r="H33" s="7" t="s">
        <v>139</v>
      </c>
      <c r="I33" s="14" t="s">
        <v>24</v>
      </c>
      <c r="J33" s="14"/>
      <c r="K33" s="14"/>
      <c r="L33" s="16"/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8183dd-6345-4a77-85dc-31c732b658eb">
      <Terms xmlns="http://schemas.microsoft.com/office/infopath/2007/PartnerControls"/>
    </lcf76f155ced4ddcb4097134ff3c332f>
    <Dettaglio xmlns="6a8183dd-6345-4a77-85dc-31c732b658e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CE0D98582E834D81E7640D0FDE4D9E" ma:contentTypeVersion="12" ma:contentTypeDescription="Creare un nuovo documento." ma:contentTypeScope="" ma:versionID="adfbf865d864715d624cb5f192799427">
  <xsd:schema xmlns:xsd="http://www.w3.org/2001/XMLSchema" xmlns:xs="http://www.w3.org/2001/XMLSchema" xmlns:p="http://schemas.microsoft.com/office/2006/metadata/properties" xmlns:ns2="6a8183dd-6345-4a77-85dc-31c732b658eb" targetNamespace="http://schemas.microsoft.com/office/2006/metadata/properties" ma:root="true" ma:fieldsID="f6644dd65dfb0ee85828eb9df3179806" ns2:_="">
    <xsd:import namespace="6a8183dd-6345-4a77-85dc-31c732b658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Dettaglio" minOccurs="0"/>
                <xsd:element ref="ns2:MediaServiceObjectDetectorVersion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8183dd-6345-4a77-85dc-31c732b658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Tag immagine" ma:readOnly="false" ma:fieldId="{5cf76f15-5ced-4ddc-b409-7134ff3c332f}" ma:taxonomyMulti="true" ma:sspId="6e5f0461-aead-4346-b666-8718ebfc04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ettaglio" ma:index="17" nillable="true" ma:displayName="Dettaglio" ma:format="Dropdown" ma:internalName="Dettaglio">
      <xsd:simpleType>
        <xsd:restriction base="dms:Text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03E654-ACD2-4F06-96F0-F68A2EC742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E111B3-E391-49B4-973E-7511FF094ADC}">
  <ds:schemaRefs>
    <ds:schemaRef ds:uri="http://schemas.microsoft.com/office/2006/metadata/properties"/>
    <ds:schemaRef ds:uri="http://schemas.microsoft.com/office/infopath/2007/PartnerControls"/>
    <ds:schemaRef ds:uri="6a8183dd-6345-4a77-85dc-31c732b658eb"/>
  </ds:schemaRefs>
</ds:datastoreItem>
</file>

<file path=customXml/itemProps3.xml><?xml version="1.0" encoding="utf-8"?>
<ds:datastoreItem xmlns:ds="http://schemas.openxmlformats.org/officeDocument/2006/customXml" ds:itemID="{EA85E24D-41D5-4715-A8D8-794A3F2B7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8183dd-6345-4a77-85dc-31c732b658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Consolidatore</vt:lpstr>
    </vt:vector>
  </TitlesOfParts>
  <Manager/>
  <Company>Poste Italiane S.p.A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INNOCENZI MARTINA (DTO)</dc:creator>
  <cp:keywords/>
  <dc:description/>
  <cp:lastModifiedBy>Federico Fatica</cp:lastModifiedBy>
  <cp:revision/>
  <dcterms:created xsi:type="dcterms:W3CDTF">2022-03-23T09:54:50Z</dcterms:created>
  <dcterms:modified xsi:type="dcterms:W3CDTF">2025-10-07T05:36:35Z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0x0101003ECE0D98582E834D81E7640D0FDE4D9E</vt:lpwstr>
  </property>
  <property fmtid="{D5CDD505-2E9C-101B-9397-08002B2CF9AE}" pid="3" name="MediaServiceImageTags">
    <vt:lpwstr/>
  </property>
</Properties>
</file>